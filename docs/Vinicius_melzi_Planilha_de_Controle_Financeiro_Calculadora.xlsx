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_melzi\Documents\"/>
    </mc:Choice>
  </mc:AlternateContent>
  <xr:revisionPtr revIDLastSave="0" documentId="13_ncr:1_{FD494229-9A68-4D5B-AA0E-1710A7FDF7DD}" xr6:coauthVersionLast="47" xr6:coauthVersionMax="47" xr10:uidLastSave="{00000000-0000-0000-0000-000000000000}"/>
  <bookViews>
    <workbookView xWindow="1950" yWindow="1950" windowWidth="21600" windowHeight="11295" tabRatio="130" firstSheet="1" activeTab="1" xr2:uid="{A352F12B-DA27-47A1-A657-6F017AD52EB0}"/>
  </bookViews>
  <sheets>
    <sheet name="Planilha1" sheetId="1" r:id="rId1"/>
    <sheet name="Calculadora" sheetId="2" r:id="rId2"/>
  </sheets>
  <definedNames>
    <definedName name="_xlnm._FilterDatabase" localSheetId="0" hidden="1">Planilha1!$B$2:$L$4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2" l="1"/>
  <c r="F6" i="2"/>
  <c r="C6" i="2"/>
  <c r="E19" i="1"/>
  <c r="C19" i="1"/>
  <c r="J18" i="1"/>
  <c r="I18" i="1"/>
  <c r="H18" i="1"/>
  <c r="G18" i="1"/>
  <c r="F18" i="1"/>
  <c r="E18" i="1"/>
  <c r="D18" i="1"/>
  <c r="C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</calcChain>
</file>

<file path=xl/sharedStrings.xml><?xml version="1.0" encoding="utf-8"?>
<sst xmlns="http://schemas.openxmlformats.org/spreadsheetml/2006/main" count="52" uniqueCount="45">
  <si>
    <t>Mês</t>
  </si>
  <si>
    <t>Salário</t>
  </si>
  <si>
    <t>Extras</t>
  </si>
  <si>
    <t>Luz</t>
  </si>
  <si>
    <t>Aluguel</t>
  </si>
  <si>
    <t>Internet</t>
  </si>
  <si>
    <t>Saldo Mês</t>
  </si>
  <si>
    <t>Gastos Diversos</t>
  </si>
  <si>
    <t>Saldo Cumulativo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</si>
  <si>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</si>
  <si>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</si>
  <si>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</si>
  <si>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</si>
  <si>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</si>
  <si>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</si>
  <si>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</si>
  <si>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</si>
  <si>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</si>
  <si>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</si>
  <si>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</si>
  <si>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</si>
  <si>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Mercado</t>
  </si>
  <si>
    <t>Totais</t>
  </si>
  <si>
    <t>Entradas</t>
  </si>
  <si>
    <t>Saidas</t>
  </si>
  <si>
    <t>Previsão de Gastos Anuais</t>
  </si>
  <si>
    <t>Casa</t>
  </si>
  <si>
    <t>Tipo de Despesa</t>
  </si>
  <si>
    <t>FIXA</t>
  </si>
  <si>
    <t>VARÍAVEL</t>
  </si>
  <si>
    <t>Valor Futuro de Um Capital</t>
  </si>
  <si>
    <t>Números de Meses:</t>
  </si>
  <si>
    <t>Taxa de Juros Mensal:</t>
  </si>
  <si>
    <t xml:space="preserve">Capital atual  (depósito realizado no início do mês): 	</t>
  </si>
  <si>
    <t>Valor obtido ao final:</t>
  </si>
  <si>
    <t>Fórmula Sn=((1+j)^n)*q0</t>
  </si>
  <si>
    <t>Aplicação com depósitos regulares</t>
  </si>
  <si>
    <t>Número de meses:</t>
  </si>
  <si>
    <t>Taxa de juros mensal: </t>
  </si>
  <si>
    <t xml:space="preserve">Valor do depósito regular 
(depósito realizado no início do mês) </t>
  </si>
  <si>
    <t xml:space="preserve">
Fórmula Sn=(1 + j)*(((1 + j)^n-1)/j)*p</t>
  </si>
  <si>
    <t>Financiamento com prestações fixas</t>
  </si>
  <si>
    <t>Valor da prestação:</t>
  </si>
  <si>
    <t xml:space="preserve">Valor financiado: </t>
  </si>
  <si>
    <t>Fórmula q0=(((1-(1+j)^-n))/j)*p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</si>
</sst>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Verdana"/>
      <family val="2"/>
    </font>
    <font>
      <sz val="11"/>
      <color rgb="FF00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0" fillId="6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64" fontId="0" fillId="7" borderId="1" xfId="0" applyNumberFormat="1" applyFill="1" applyBorder="1"/>
    <xf numFmtId="44" fontId="0" fillId="7" borderId="1" xfId="1" applyFont="1" applyFill="1" applyBorder="1"/>
    <xf numFmtId="0" fontId="0" fillId="7" borderId="1" xfId="0" applyFill="1" applyBorder="1"/>
    <xf numFmtId="164" fontId="0" fillId="7" borderId="1" xfId="1" applyNumberFormat="1" applyFont="1" applyFill="1" applyBorder="1"/>
    <xf numFmtId="0" fontId="0" fillId="8" borderId="1" xfId="0" applyFill="1" applyBorder="1"/>
    <xf numFmtId="44" fontId="0" fillId="8" borderId="1" xfId="1" applyFont="1" applyFill="1" applyBorder="1"/>
    <xf numFmtId="164" fontId="0" fillId="8" borderId="1" xfId="1" applyNumberFormat="1" applyFont="1" applyFill="1" applyBorder="1"/>
    <xf numFmtId="164" fontId="0" fillId="9" borderId="1" xfId="0" applyNumberFormat="1" applyFill="1" applyBorder="1"/>
    <xf numFmtId="44" fontId="0" fillId="9" borderId="1" xfId="0" applyNumberFormat="1" applyFill="1" applyBorder="1"/>
    <xf numFmtId="0" fontId="2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164" fontId="0" fillId="7" borderId="17" xfId="1" applyNumberFormat="1" applyFont="1" applyFill="1" applyBorder="1"/>
    <xf numFmtId="164" fontId="0" fillId="8" borderId="17" xfId="1" applyNumberFormat="1" applyFont="1" applyFill="1" applyBorder="1"/>
    <xf numFmtId="0" fontId="3" fillId="8" borderId="20" xfId="0" applyFont="1" applyFill="1" applyBorder="1" applyAlignment="1">
      <alignment horizontal="center"/>
    </xf>
    <xf numFmtId="0" fontId="0" fillId="8" borderId="21" xfId="0" applyFill="1" applyBorder="1"/>
    <xf numFmtId="44" fontId="0" fillId="8" borderId="21" xfId="1" applyFont="1" applyFill="1" applyBorder="1"/>
    <xf numFmtId="164" fontId="0" fillId="8" borderId="21" xfId="1" applyNumberFormat="1" applyFont="1" applyFill="1" applyBorder="1"/>
    <xf numFmtId="164" fontId="0" fillId="8" borderId="22" xfId="1" applyNumberFormat="1" applyFont="1" applyFill="1" applyBorder="1"/>
    <xf numFmtId="0" fontId="0" fillId="6" borderId="23" xfId="0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10" borderId="19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10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10" fontId="6" fillId="13" borderId="1" xfId="0" applyNumberFormat="1" applyFont="1" applyFill="1" applyBorder="1" applyAlignment="1">
      <alignment horizontal="center" vertical="center" wrapText="1"/>
    </xf>
    <xf numFmtId="0" fontId="0" fillId="13" borderId="1" xfId="0" quotePrefix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0" fontId="4" fillId="10" borderId="16" xfId="0" applyFont="1" applyFill="1" applyBorder="1" applyAlignment="1">
      <alignment horizontal="center"/>
    </xf>
    <xf numFmtId="0" fontId="0" fillId="12" borderId="17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1">
    <dxf>
      <font>
        <color rgb="FF9C0006"/>
      </font>
    </dxf>
    <dxf>
      <font>
        <color rgb="FF1226E8"/>
      </font>
    </dxf>
    <dxf>
      <font>
        <color rgb="FF1226E8"/>
      </font>
    </dxf>
    <dxf>
      <font>
        <color rgb="FF9C0006"/>
      </font>
    </dxf>
    <dxf>
      <font>
        <color rgb="FF1226E8"/>
      </font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22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Planilha1!$C$3:$C$20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&quot;R$&quot;\ #,##0.00">
                  <c:v>831.48</c:v>
                </c:pt>
                <c:pt idx="4" formatCode="&quot;R$&quot;\ #,##0.00">
                  <c:v>831.48</c:v>
                </c:pt>
                <c:pt idx="5" formatCode="&quot;R$&quot;\ #,##0.00">
                  <c:v>831.48</c:v>
                </c:pt>
                <c:pt idx="6" formatCode="&quot;R$&quot;\ #,##0.00">
                  <c:v>831.48</c:v>
                </c:pt>
                <c:pt idx="7" formatCode="&quot;R$&quot;\ #,##0.00">
                  <c:v>831.48</c:v>
                </c:pt>
                <c:pt idx="8" formatCode="&quot;R$&quot;\ #,##0.00">
                  <c:v>831.48</c:v>
                </c:pt>
                <c:pt idx="9" formatCode="&quot;R$&quot;\ #,##0.00">
                  <c:v>831.48</c:v>
                </c:pt>
                <c:pt idx="10" formatCode="&quot;R$&quot;\ #,##0.00">
                  <c:v>831.48</c:v>
                </c:pt>
                <c:pt idx="11" formatCode="&quot;R$&quot;\ #,##0.00">
                  <c:v>831.48</c:v>
                </c:pt>
                <c:pt idx="12" formatCode="&quot;R$&quot;\ #,##0.00">
                  <c:v>831.48</c:v>
                </c:pt>
                <c:pt idx="13" formatCode="&quot;R$&quot;\ #,##0.00">
                  <c:v>831.48</c:v>
                </c:pt>
                <c:pt idx="14" formatCode="&quot;R$&quot;\ #,##0.00">
                  <c:v>831.48</c:v>
                </c:pt>
                <c:pt idx="15" formatCode="&quot;R$&quot;\ #,##0.00">
                  <c:v>9977.7599999999966</c:v>
                </c:pt>
                <c:pt idx="16" formatCode="&quot;R$&quot;\ #,##0.00">
                  <c:v>9977.7599999999966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9-4E5A-8550-01C543A59FEB}"/>
            </c:ext>
          </c:extLst>
        </c:ser>
        <c:ser>
          <c:idx val="1"/>
          <c:order val="1"/>
          <c:tx>
            <c:strRef>
              <c:f>Planilha1!$D$2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Planilha1!$D$3:$D$20</c:f>
              <c:numCache>
                <c:formatCode>General</c:formatCode>
                <c:ptCount val="18"/>
                <c:pt idx="2">
                  <c:v>0</c:v>
                </c:pt>
                <c:pt idx="15" formatCode="&quot;R$&quot;\ 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9-4E5A-8550-01C543A59FEB}"/>
            </c:ext>
          </c:extLst>
        </c:ser>
        <c:ser>
          <c:idx val="2"/>
          <c:order val="2"/>
          <c:tx>
            <c:strRef>
              <c:f>Planilha1!$E$2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Planilha1!$E$3:$E$20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_(&quot;R$&quot;* #,##0.00_);_(&quot;R$&quot;* \(#,##0.00\);_(&quot;R$&quot;* &quot;-&quot;??_);_(@_)">
                  <c:v>0</c:v>
                </c:pt>
                <c:pt idx="4" formatCode="_(&quot;R$&quot;* #,##0.00_);_(&quot;R$&quot;* \(#,##0.00\);_(&quot;R$&quot;* &quot;-&quot;??_);_(@_)">
                  <c:v>0</c:v>
                </c:pt>
                <c:pt idx="5" formatCode="_(&quot;R$&quot;* #,##0.00_);_(&quot;R$&quot;* \(#,##0.00\);_(&quot;R$&quot;* &quot;-&quot;??_);_(@_)">
                  <c:v>0</c:v>
                </c:pt>
                <c:pt idx="6" formatCode="_(&quot;R$&quot;* #,##0.00_);_(&quot;R$&quot;* \(#,##0.00\);_(&quot;R$&quot;* &quot;-&quot;??_);_(@_)">
                  <c:v>0</c:v>
                </c:pt>
                <c:pt idx="7" formatCode="_(&quot;R$&quot;* #,##0.00_);_(&quot;R$&quot;* \(#,##0.00\);_(&quot;R$&quot;* &quot;-&quot;??_);_(@_)">
                  <c:v>0</c:v>
                </c:pt>
                <c:pt idx="8" formatCode="_(&quot;R$&quot;* #,##0.00_);_(&quot;R$&quot;* \(#,##0.00\);_(&quot;R$&quot;* &quot;-&quot;??_);_(@_)">
                  <c:v>0</c:v>
                </c:pt>
                <c:pt idx="9" formatCode="_(&quot;R$&quot;* #,##0.00_);_(&quot;R$&quot;* \(#,##0.00\);_(&quot;R$&quot;* &quot;-&quot;??_);_(@_)">
                  <c:v>0</c:v>
                </c:pt>
                <c:pt idx="10" formatCode="_(&quot;R$&quot;* #,##0.00_);_(&quot;R$&quot;* \(#,##0.00\);_(&quot;R$&quot;* &quot;-&quot;??_);_(@_)">
                  <c:v>0</c:v>
                </c:pt>
                <c:pt idx="11" formatCode="_(&quot;R$&quot;* #,##0.00_);_(&quot;R$&quot;* \(#,##0.00\);_(&quot;R$&quot;* &quot;-&quot;??_);_(@_)">
                  <c:v>0</c:v>
                </c:pt>
                <c:pt idx="12" formatCode="_(&quot;R$&quot;* #,##0.00_);_(&quot;R$&quot;* \(#,##0.00\);_(&quot;R$&quot;* &quot;-&quot;??_);_(@_)">
                  <c:v>0</c:v>
                </c:pt>
                <c:pt idx="13" formatCode="_(&quot;R$&quot;* #,##0.00_);_(&quot;R$&quot;* \(#,##0.00\);_(&quot;R$&quot;* &quot;-&quot;??_);_(@_)">
                  <c:v>0</c:v>
                </c:pt>
                <c:pt idx="14" formatCode="_(&quot;R$&quot;* #,##0.00_);_(&quot;R$&quot;* \(#,##0.00\);_(&quot;R$&quot;* &quot;-&quot;??_);_(@_)">
                  <c:v>0</c:v>
                </c:pt>
                <c:pt idx="15" formatCode="_(&quot;R$&quot;* #,##0.00_);_(&quot;R$&quot;* \(#,##0.00\);_(&quot;R$&quot;* &quot;-&quot;??_);_(@_)">
                  <c:v>0</c:v>
                </c:pt>
                <c:pt idx="16" formatCode="&quot;R$&quot;\ #,##0.00">
                  <c:v>-3300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9-4E5A-8550-01C543A59FEB}"/>
            </c:ext>
          </c:extLst>
        </c:ser>
        <c:ser>
          <c:idx val="3"/>
          <c:order val="3"/>
          <c:tx>
            <c:strRef>
              <c:f>Planilha1!$F$2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Planilha1!$F$3:$F$20</c:f>
              <c:numCache>
                <c:formatCode>General</c:formatCode>
                <c:ptCount val="18"/>
                <c:pt idx="1">
                  <c:v>0</c:v>
                </c:pt>
                <c:pt idx="2">
                  <c:v>0</c:v>
                </c:pt>
                <c:pt idx="3" formatCode="_(&quot;R$&quot;* #,##0.00_);_(&quot;R$&quot;* \(#,##0.00\);_(&quot;R$&quot;* &quot;-&quot;??_);_(@_)">
                  <c:v>0</c:v>
                </c:pt>
                <c:pt idx="4" formatCode="_(&quot;R$&quot;* #,##0.00_);_(&quot;R$&quot;* \(#,##0.00\);_(&quot;R$&quot;* &quot;-&quot;??_);_(@_)">
                  <c:v>0</c:v>
                </c:pt>
                <c:pt idx="5" formatCode="_(&quot;R$&quot;* #,##0.00_);_(&quot;R$&quot;* \(#,##0.00\);_(&quot;R$&quot;* &quot;-&quot;??_);_(@_)">
                  <c:v>0</c:v>
                </c:pt>
                <c:pt idx="6" formatCode="_(&quot;R$&quot;* #,##0.00_);_(&quot;R$&quot;* \(#,##0.00\);_(&quot;R$&quot;* &quot;-&quot;??_);_(@_)">
                  <c:v>0</c:v>
                </c:pt>
                <c:pt idx="7" formatCode="_(&quot;R$&quot;* #,##0.00_);_(&quot;R$&quot;* \(#,##0.00\);_(&quot;R$&quot;* &quot;-&quot;??_);_(@_)">
                  <c:v>0</c:v>
                </c:pt>
                <c:pt idx="8" formatCode="_(&quot;R$&quot;* #,##0.00_);_(&quot;R$&quot;* \(#,##0.00\);_(&quot;R$&quot;* &quot;-&quot;??_);_(@_)">
                  <c:v>0</c:v>
                </c:pt>
                <c:pt idx="9" formatCode="_(&quot;R$&quot;* #,##0.00_);_(&quot;R$&quot;* \(#,##0.00\);_(&quot;R$&quot;* &quot;-&quot;??_);_(@_)">
                  <c:v>0</c:v>
                </c:pt>
                <c:pt idx="10" formatCode="_(&quot;R$&quot;* #,##0.00_);_(&quot;R$&quot;* \(#,##0.00\);_(&quot;R$&quot;* &quot;-&quot;??_);_(@_)">
                  <c:v>0</c:v>
                </c:pt>
                <c:pt idx="11" formatCode="_(&quot;R$&quot;* #,##0.00_);_(&quot;R$&quot;* \(#,##0.00\);_(&quot;R$&quot;* &quot;-&quot;??_);_(@_)">
                  <c:v>0</c:v>
                </c:pt>
                <c:pt idx="12" formatCode="_(&quot;R$&quot;* #,##0.00_);_(&quot;R$&quot;* \(#,##0.00\);_(&quot;R$&quot;* &quot;-&quot;??_);_(@_)">
                  <c:v>0</c:v>
                </c:pt>
                <c:pt idx="13" formatCode="_(&quot;R$&quot;* #,##0.00_);_(&quot;R$&quot;* \(#,##0.00\);_(&quot;R$&quot;* &quot;-&quot;??_);_(@_)">
                  <c:v>0</c:v>
                </c:pt>
                <c:pt idx="14" formatCode="_(&quot;R$&quot;* #,##0.00_);_(&quot;R$&quot;* \(#,##0.00\);_(&quot;R$&quot;* &quot;-&quot;??_);_(@_)">
                  <c:v>0</c:v>
                </c:pt>
                <c:pt idx="15" formatCode="_(&quot;R$&quot;* #,##0.00_);_(&quot;R$&quot;* \(#,##0.00\);_(&quot;R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79-4E5A-8550-01C543A59FEB}"/>
            </c:ext>
          </c:extLst>
        </c:ser>
        <c:ser>
          <c:idx val="4"/>
          <c:order val="4"/>
          <c:tx>
            <c:strRef>
              <c:f>Planilha1!$G$2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Planilha1!$G$3:$G$20</c:f>
              <c:numCache>
                <c:formatCode>General</c:formatCode>
                <c:ptCount val="18"/>
                <c:pt idx="1">
                  <c:v>0</c:v>
                </c:pt>
                <c:pt idx="2">
                  <c:v>0</c:v>
                </c:pt>
                <c:pt idx="4" formatCode="_(&quot;R$&quot;* #,##0.00_);_(&quot;R$&quot;* \(#,##0.00\);_(&quot;R$&quot;* &quot;-&quot;??_);_(@_)">
                  <c:v>0</c:v>
                </c:pt>
                <c:pt idx="5" formatCode="_(&quot;R$&quot;* #,##0.00_);_(&quot;R$&quot;* \(#,##0.00\);_(&quot;R$&quot;* &quot;-&quot;??_);_(@_)">
                  <c:v>0</c:v>
                </c:pt>
                <c:pt idx="6" formatCode="_(&quot;R$&quot;* #,##0.00_);_(&quot;R$&quot;* \(#,##0.00\);_(&quot;R$&quot;* &quot;-&quot;??_);_(@_)">
                  <c:v>0</c:v>
                </c:pt>
                <c:pt idx="7" formatCode="_(&quot;R$&quot;* #,##0.00_);_(&quot;R$&quot;* \(#,##0.00\);_(&quot;R$&quot;* &quot;-&quot;??_);_(@_)">
                  <c:v>0</c:v>
                </c:pt>
                <c:pt idx="8" formatCode="_(&quot;R$&quot;* #,##0.00_);_(&quot;R$&quot;* \(#,##0.00\);_(&quot;R$&quot;* &quot;-&quot;??_);_(@_)">
                  <c:v>0</c:v>
                </c:pt>
                <c:pt idx="9" formatCode="_(&quot;R$&quot;* #,##0.00_);_(&quot;R$&quot;* \(#,##0.00\);_(&quot;R$&quot;* &quot;-&quot;??_);_(@_)">
                  <c:v>0</c:v>
                </c:pt>
                <c:pt idx="10" formatCode="_(&quot;R$&quot;* #,##0.00_);_(&quot;R$&quot;* \(#,##0.00\);_(&quot;R$&quot;* &quot;-&quot;??_);_(@_)">
                  <c:v>0</c:v>
                </c:pt>
                <c:pt idx="11" formatCode="_(&quot;R$&quot;* #,##0.00_);_(&quot;R$&quot;* \(#,##0.00\);_(&quot;R$&quot;* &quot;-&quot;??_);_(@_)">
                  <c:v>0</c:v>
                </c:pt>
                <c:pt idx="12" formatCode="_(&quot;R$&quot;* #,##0.00_);_(&quot;R$&quot;* \(#,##0.00\);_(&quot;R$&quot;* &quot;-&quot;??_);_(@_)">
                  <c:v>0</c:v>
                </c:pt>
                <c:pt idx="13" formatCode="_(&quot;R$&quot;* #,##0.00_);_(&quot;R$&quot;* \(#,##0.00\);_(&quot;R$&quot;* &quot;-&quot;??_);_(@_)">
                  <c:v>0</c:v>
                </c:pt>
                <c:pt idx="14" formatCode="_(&quot;R$&quot;* #,##0.00_);_(&quot;R$&quot;* \(#,##0.00\);_(&quot;R$&quot;* &quot;-&quot;??_);_(@_)">
                  <c:v>0</c:v>
                </c:pt>
                <c:pt idx="15" formatCode="_(&quot;R$&quot;* #,##0.00_);_(&quot;R$&quot;* \(#,##0.00\);_(&quot;R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79-4E5A-8550-01C543A59FEB}"/>
            </c:ext>
          </c:extLst>
        </c:ser>
        <c:ser>
          <c:idx val="5"/>
          <c:order val="5"/>
          <c:tx>
            <c:strRef>
              <c:f>Planilha1!$H$2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Planilha1!$H$3:$H$20</c:f>
              <c:numCache>
                <c:formatCode>General</c:formatCode>
                <c:ptCount val="18"/>
                <c:pt idx="1">
                  <c:v>0</c:v>
                </c:pt>
                <c:pt idx="2">
                  <c:v>0</c:v>
                </c:pt>
                <c:pt idx="3" formatCode="_(&quot;R$&quot;* #,##0.00_);_(&quot;R$&quot;* \(#,##0.00\);_(&quot;R$&quot;* &quot;-&quot;??_);_(@_)">
                  <c:v>-25</c:v>
                </c:pt>
                <c:pt idx="4" formatCode="_(&quot;R$&quot;* #,##0.00_);_(&quot;R$&quot;* \(#,##0.00\);_(&quot;R$&quot;* &quot;-&quot;??_);_(@_)">
                  <c:v>-25</c:v>
                </c:pt>
                <c:pt idx="5" formatCode="_(&quot;R$&quot;* #,##0.00_);_(&quot;R$&quot;* \(#,##0.00\);_(&quot;R$&quot;* &quot;-&quot;??_);_(@_)">
                  <c:v>-25</c:v>
                </c:pt>
                <c:pt idx="6" formatCode="_(&quot;R$&quot;* #,##0.00_);_(&quot;R$&quot;* \(#,##0.00\);_(&quot;R$&quot;* &quot;-&quot;??_);_(@_)">
                  <c:v>-25</c:v>
                </c:pt>
                <c:pt idx="7" formatCode="_(&quot;R$&quot;* #,##0.00_);_(&quot;R$&quot;* \(#,##0.00\);_(&quot;R$&quot;* &quot;-&quot;??_);_(@_)">
                  <c:v>-25</c:v>
                </c:pt>
                <c:pt idx="8" formatCode="_(&quot;R$&quot;* #,##0.00_);_(&quot;R$&quot;* \(#,##0.00\);_(&quot;R$&quot;* &quot;-&quot;??_);_(@_)">
                  <c:v>-25</c:v>
                </c:pt>
                <c:pt idx="9" formatCode="_(&quot;R$&quot;* #,##0.00_);_(&quot;R$&quot;* \(#,##0.00\);_(&quot;R$&quot;* &quot;-&quot;??_);_(@_)">
                  <c:v>-25</c:v>
                </c:pt>
                <c:pt idx="10" formatCode="_(&quot;R$&quot;* #,##0.00_);_(&quot;R$&quot;* \(#,##0.00\);_(&quot;R$&quot;* &quot;-&quot;??_);_(@_)">
                  <c:v>-25</c:v>
                </c:pt>
                <c:pt idx="11" formatCode="_(&quot;R$&quot;* #,##0.00_);_(&quot;R$&quot;* \(#,##0.00\);_(&quot;R$&quot;* &quot;-&quot;??_);_(@_)">
                  <c:v>-25</c:v>
                </c:pt>
                <c:pt idx="12" formatCode="_(&quot;R$&quot;* #,##0.00_);_(&quot;R$&quot;* \(#,##0.00\);_(&quot;R$&quot;* &quot;-&quot;??_);_(@_)">
                  <c:v>-25</c:v>
                </c:pt>
                <c:pt idx="13" formatCode="_(&quot;R$&quot;* #,##0.00_);_(&quot;R$&quot;* \(#,##0.00\);_(&quot;R$&quot;* &quot;-&quot;??_);_(@_)">
                  <c:v>-25</c:v>
                </c:pt>
                <c:pt idx="14" formatCode="_(&quot;R$&quot;* #,##0.00_);_(&quot;R$&quot;* \(#,##0.00\);_(&quot;R$&quot;* &quot;-&quot;??_);_(@_)">
                  <c:v>-25</c:v>
                </c:pt>
                <c:pt idx="15" formatCode="_(&quot;R$&quot;* #,##0.00_);_(&quot;R$&quot;* \(#,##0.00\);_(&quot;R$&quot;* &quot;-&quot;??_);_(@_)">
                  <c:v>-300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79-4E5A-8550-01C543A59FEB}"/>
            </c:ext>
          </c:extLst>
        </c:ser>
        <c:ser>
          <c:idx val="6"/>
          <c:order val="6"/>
          <c:tx>
            <c:strRef>
              <c:f>Planilha1!$I$2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Planilha1!$I$3:$I$20</c:f>
              <c:numCache>
                <c:formatCode>General</c:formatCode>
                <c:ptCount val="18"/>
                <c:pt idx="1">
                  <c:v>0</c:v>
                </c:pt>
                <c:pt idx="2">
                  <c:v>0</c:v>
                </c:pt>
                <c:pt idx="3" formatCode="_(&quot;R$&quot;* #,##0.00_);_(&quot;R$&quot;* \(#,##0.00\);_(&quot;R$&quot;* &quot;-&quot;??_);_(@_)">
                  <c:v>-100</c:v>
                </c:pt>
                <c:pt idx="4" formatCode="_(&quot;R$&quot;* #,##0.00_);_(&quot;R$&quot;* \(#,##0.00\);_(&quot;R$&quot;* &quot;-&quot;??_);_(@_)">
                  <c:v>-100</c:v>
                </c:pt>
                <c:pt idx="5" formatCode="_(&quot;R$&quot;* #,##0.00_);_(&quot;R$&quot;* \(#,##0.00\);_(&quot;R$&quot;* &quot;-&quot;??_);_(@_)">
                  <c:v>-100</c:v>
                </c:pt>
                <c:pt idx="6" formatCode="_(&quot;R$&quot;* #,##0.00_);_(&quot;R$&quot;* \(#,##0.00\);_(&quot;R$&quot;* &quot;-&quot;??_);_(@_)">
                  <c:v>-100</c:v>
                </c:pt>
                <c:pt idx="7" formatCode="_(&quot;R$&quot;* #,##0.00_);_(&quot;R$&quot;* \(#,##0.00\);_(&quot;R$&quot;* &quot;-&quot;??_);_(@_)">
                  <c:v>-100</c:v>
                </c:pt>
                <c:pt idx="8" formatCode="_(&quot;R$&quot;* #,##0.00_);_(&quot;R$&quot;* \(#,##0.00\);_(&quot;R$&quot;* &quot;-&quot;??_);_(@_)">
                  <c:v>-100</c:v>
                </c:pt>
                <c:pt idx="9" formatCode="_(&quot;R$&quot;* #,##0.00_);_(&quot;R$&quot;* \(#,##0.00\);_(&quot;R$&quot;* &quot;-&quot;??_);_(@_)">
                  <c:v>-100</c:v>
                </c:pt>
                <c:pt idx="10" formatCode="_(&quot;R$&quot;* #,##0.00_);_(&quot;R$&quot;* \(#,##0.00\);_(&quot;R$&quot;* &quot;-&quot;??_);_(@_)">
                  <c:v>-100</c:v>
                </c:pt>
                <c:pt idx="11" formatCode="_(&quot;R$&quot;* #,##0.00_);_(&quot;R$&quot;* \(#,##0.00\);_(&quot;R$&quot;* &quot;-&quot;??_);_(@_)">
                  <c:v>-100</c:v>
                </c:pt>
                <c:pt idx="12" formatCode="_(&quot;R$&quot;* #,##0.00_);_(&quot;R$&quot;* \(#,##0.00\);_(&quot;R$&quot;* &quot;-&quot;??_);_(@_)">
                  <c:v>-100</c:v>
                </c:pt>
                <c:pt idx="13" formatCode="_(&quot;R$&quot;* #,##0.00_);_(&quot;R$&quot;* \(#,##0.00\);_(&quot;R$&quot;* &quot;-&quot;??_);_(@_)">
                  <c:v>-100</c:v>
                </c:pt>
                <c:pt idx="14" formatCode="_(&quot;R$&quot;* #,##0.00_);_(&quot;R$&quot;* \(#,##0.00\);_(&quot;R$&quot;* &quot;-&quot;??_);_(@_)">
                  <c:v>-100</c:v>
                </c:pt>
                <c:pt idx="15" formatCode="_(&quot;R$&quot;* #,##0.00_);_(&quot;R$&quot;* \(#,##0.00\);_(&quot;R$&quot;* &quot;-&quot;??_);_(@_)">
                  <c:v>-1200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79-4E5A-8550-01C543A59FEB}"/>
            </c:ext>
          </c:extLst>
        </c:ser>
        <c:ser>
          <c:idx val="7"/>
          <c:order val="7"/>
          <c:tx>
            <c:strRef>
              <c:f>Planilha1!$J$2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Planilha1!$J$3:$J$20</c:f>
              <c:numCache>
                <c:formatCode>General</c:formatCode>
                <c:ptCount val="18"/>
                <c:pt idx="1">
                  <c:v>0</c:v>
                </c:pt>
                <c:pt idx="2">
                  <c:v>0</c:v>
                </c:pt>
                <c:pt idx="3" formatCode="_(&quot;R$&quot;* #,##0.00_);_(&quot;R$&quot;* \(#,##0.00\);_(&quot;R$&quot;* &quot;-&quot;??_);_(@_)">
                  <c:v>-150</c:v>
                </c:pt>
                <c:pt idx="4" formatCode="_(&quot;R$&quot;* #,##0.00_);_(&quot;R$&quot;* \(#,##0.00\);_(&quot;R$&quot;* &quot;-&quot;??_);_(@_)">
                  <c:v>-150</c:v>
                </c:pt>
                <c:pt idx="5" formatCode="_(&quot;R$&quot;* #,##0.00_);_(&quot;R$&quot;* \(#,##0.00\);_(&quot;R$&quot;* &quot;-&quot;??_);_(@_)">
                  <c:v>-150</c:v>
                </c:pt>
                <c:pt idx="6" formatCode="_(&quot;R$&quot;* #,##0.00_);_(&quot;R$&quot;* \(#,##0.00\);_(&quot;R$&quot;* &quot;-&quot;??_);_(@_)">
                  <c:v>-150</c:v>
                </c:pt>
                <c:pt idx="7" formatCode="_(&quot;R$&quot;* #,##0.00_);_(&quot;R$&quot;* \(#,##0.00\);_(&quot;R$&quot;* &quot;-&quot;??_);_(@_)">
                  <c:v>-150</c:v>
                </c:pt>
                <c:pt idx="8" formatCode="_(&quot;R$&quot;* #,##0.00_);_(&quot;R$&quot;* \(#,##0.00\);_(&quot;R$&quot;* &quot;-&quot;??_);_(@_)">
                  <c:v>-150</c:v>
                </c:pt>
                <c:pt idx="9" formatCode="_(&quot;R$&quot;* #,##0.00_);_(&quot;R$&quot;* \(#,##0.00\);_(&quot;R$&quot;* &quot;-&quot;??_);_(@_)">
                  <c:v>-150</c:v>
                </c:pt>
                <c:pt idx="10" formatCode="_(&quot;R$&quot;* #,##0.00_);_(&quot;R$&quot;* \(#,##0.00\);_(&quot;R$&quot;* &quot;-&quot;??_);_(@_)">
                  <c:v>-150</c:v>
                </c:pt>
                <c:pt idx="11" formatCode="_(&quot;R$&quot;* #,##0.00_);_(&quot;R$&quot;* \(#,##0.00\);_(&quot;R$&quot;* &quot;-&quot;??_);_(@_)">
                  <c:v>-150</c:v>
                </c:pt>
                <c:pt idx="12" formatCode="_(&quot;R$&quot;* #,##0.00_);_(&quot;R$&quot;* \(#,##0.00\);_(&quot;R$&quot;* &quot;-&quot;??_);_(@_)">
                  <c:v>-150</c:v>
                </c:pt>
                <c:pt idx="13" formatCode="_(&quot;R$&quot;* #,##0.00_);_(&quot;R$&quot;* \(#,##0.00\);_(&quot;R$&quot;* &quot;-&quot;??_);_(@_)">
                  <c:v>-150</c:v>
                </c:pt>
                <c:pt idx="14" formatCode="_(&quot;R$&quot;* #,##0.00_);_(&quot;R$&quot;* \(#,##0.00\);_(&quot;R$&quot;* &quot;-&quot;??_);_(@_)">
                  <c:v>-150</c:v>
                </c:pt>
                <c:pt idx="15" formatCode="&quot;R$&quot;\ #,##0.00">
                  <c:v>-1800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79-4E5A-8550-01C543A59FEB}"/>
            </c:ext>
          </c:extLst>
        </c:ser>
        <c:ser>
          <c:idx val="8"/>
          <c:order val="8"/>
          <c:tx>
            <c:strRef>
              <c:f>Planilha1!$K$2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Planilha1!$K$3:$K$20</c:f>
              <c:numCache>
                <c:formatCode>General</c:formatCode>
                <c:ptCount val="18"/>
                <c:pt idx="2">
                  <c:v>0</c:v>
                </c:pt>
                <c:pt idx="3" formatCode="&quot;R$&quot;\ #,##0.00">
                  <c:v>556.48</c:v>
                </c:pt>
                <c:pt idx="4" formatCode="&quot;R$&quot;\ #,##0.00">
                  <c:v>556.48</c:v>
                </c:pt>
                <c:pt idx="5" formatCode="&quot;R$&quot;\ #,##0.00">
                  <c:v>556.48</c:v>
                </c:pt>
                <c:pt idx="6" formatCode="&quot;R$&quot;\ #,##0.00">
                  <c:v>556.48</c:v>
                </c:pt>
                <c:pt idx="7" formatCode="&quot;R$&quot;\ #,##0.00">
                  <c:v>556.48</c:v>
                </c:pt>
                <c:pt idx="8" formatCode="&quot;R$&quot;\ #,##0.00">
                  <c:v>556.48</c:v>
                </c:pt>
                <c:pt idx="9" formatCode="&quot;R$&quot;\ #,##0.00">
                  <c:v>556.48</c:v>
                </c:pt>
                <c:pt idx="10" formatCode="&quot;R$&quot;\ #,##0.00">
                  <c:v>556.48</c:v>
                </c:pt>
                <c:pt idx="11" formatCode="&quot;R$&quot;\ #,##0.00">
                  <c:v>556.48</c:v>
                </c:pt>
                <c:pt idx="12" formatCode="&quot;R$&quot;\ #,##0.00">
                  <c:v>556.48</c:v>
                </c:pt>
                <c:pt idx="13" formatCode="&quot;R$&quot;\ #,##0.00">
                  <c:v>556.48</c:v>
                </c:pt>
                <c:pt idx="14" formatCode="&quot;R$&quot;\ #,##0.00">
                  <c:v>556.48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79-4E5A-8550-01C543A59FEB}"/>
            </c:ext>
          </c:extLst>
        </c:ser>
        <c:ser>
          <c:idx val="9"/>
          <c:order val="9"/>
          <c:tx>
            <c:strRef>
              <c:f>Planilha1!$L$2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Planilha1!$B$3:$B$20</c:f>
              <c:strCache>
                <c:ptCount val="16"/>
                <c:pt idx="2">
                  <c:v>Mês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  <c:pt idx="12">
                  <c:v>Out</c:v>
                </c:pt>
                <c:pt idx="13">
                  <c:v>Nov</c:v>
                </c:pt>
                <c:pt idx="14">
                  <c:v>Dez</c:v>
                </c:pt>
                <c:pt idx="15">
                  <c:v>Totais</c:v>
                </c:pt>
              </c:strCache>
            </c:strRef>
          </c:cat>
          <c:val>
            <c:numRef>
              <c:f>Planilha1!$L$3:$L$20</c:f>
              <c:numCache>
                <c:formatCode>General</c:formatCode>
                <c:ptCount val="18"/>
                <c:pt idx="2">
                  <c:v>0</c:v>
                </c:pt>
                <c:pt idx="3" formatCode="&quot;R$&quot;\ #,##0.00">
                  <c:v>556.48</c:v>
                </c:pt>
                <c:pt idx="4" formatCode="&quot;R$&quot;\ #,##0.00">
                  <c:v>1112.96</c:v>
                </c:pt>
                <c:pt idx="5" formatCode="&quot;R$&quot;\ #,##0.00">
                  <c:v>1669.44</c:v>
                </c:pt>
                <c:pt idx="6" formatCode="&quot;R$&quot;\ #,##0.00">
                  <c:v>2225.92</c:v>
                </c:pt>
                <c:pt idx="7" formatCode="&quot;R$&quot;\ #,##0.00">
                  <c:v>2782.4</c:v>
                </c:pt>
                <c:pt idx="8" formatCode="&quot;R$&quot;\ #,##0.00">
                  <c:v>3338.88</c:v>
                </c:pt>
                <c:pt idx="9" formatCode="&quot;R$&quot;\ #,##0.00">
                  <c:v>3895.36</c:v>
                </c:pt>
                <c:pt idx="10" formatCode="&quot;R$&quot;\ #,##0.00">
                  <c:v>4451.84</c:v>
                </c:pt>
                <c:pt idx="11" formatCode="&quot;R$&quot;\ #,##0.00">
                  <c:v>5008.32</c:v>
                </c:pt>
                <c:pt idx="12" formatCode="&quot;R$&quot;\ #,##0.00">
                  <c:v>5564.7999999999993</c:v>
                </c:pt>
                <c:pt idx="13" formatCode="&quot;R$&quot;\ #,##0.00">
                  <c:v>6121.2799999999988</c:v>
                </c:pt>
                <c:pt idx="14" formatCode="&quot;R$&quot;\ #,##0.00">
                  <c:v>6677.7599999999984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79-4E5A-8550-01C543A59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411999"/>
        <c:axId val="1487397599"/>
      </c:barChart>
      <c:catAx>
        <c:axId val="14874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397599"/>
        <c:crosses val="autoZero"/>
        <c:auto val="1"/>
        <c:lblAlgn val="ctr"/>
        <c:lblOffset val="100"/>
        <c:noMultiLvlLbl val="0"/>
      </c:catAx>
      <c:valAx>
        <c:axId val="148739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4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21</xdr:row>
      <xdr:rowOff>14287</xdr:rowOff>
    </xdr:from>
    <xdr:to>
      <xdr:col>8</xdr:col>
      <xdr:colOff>295275</xdr:colOff>
      <xdr:row>35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EAF463-1FBD-6C6C-5E34-77A2D14BB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04CA5C-8E26-4A0F-92B7-1DA22F703327}" name="Tabela4" displayName="Tabela4" ref="B5:L17" totalsRowShown="0" headerRowDxfId="20" headerRowBorderDxfId="19" tableBorderDxfId="18" totalsRowBorderDxfId="17">
  <autoFilter ref="B5:L17" xr:uid="{6B04CA5C-8E26-4A0F-92B7-1DA22F703327}"/>
  <tableColumns count="11">
    <tableColumn id="1" xr3:uid="{45F08A1D-1C9B-44EF-A1A7-730CDA68F309}" name="Mês" dataDxfId="16"/>
    <tableColumn id="2" xr3:uid="{404F31F7-0205-402F-9BC0-08B0A4DA375C}" name="Salário" dataDxfId="15"/>
    <tableColumn id="3" xr3:uid="{21CE4E9E-7FE4-4379-BC54-20B715DEB0CC}" name="Extras" dataDxfId="14"/>
    <tableColumn id="4" xr3:uid="{CE7956CE-A510-4967-AE01-AFA32EFC33BF}" name="Casa" dataDxfId="13" dataCellStyle="Moeda"/>
    <tableColumn id="5" xr3:uid="{A3A7FD32-1338-417E-9B05-A10DC114113E}" name="Luz" dataDxfId="12" dataCellStyle="Moeda"/>
    <tableColumn id="6" xr3:uid="{C96FDB2C-4287-4164-AA44-7C1072CB3335}" name="Aluguel" dataDxfId="11" dataCellStyle="Moeda"/>
    <tableColumn id="7" xr3:uid="{83CF31C0-7A67-4399-AEB5-1D4594CD675B}" name="Internet" dataDxfId="10" dataCellStyle="Moeda"/>
    <tableColumn id="8" xr3:uid="{7D95CEA7-D528-45B2-A7EB-F4AE4912C52F}" name="Mercado" dataDxfId="9" dataCellStyle="Moeda"/>
    <tableColumn id="9" xr3:uid="{1B621372-C08F-4617-B780-F360CEF9B683}" name="Gastos Diversos" dataDxfId="8"/>
    <tableColumn id="10" xr3:uid="{CBFED2E7-0D5A-4D58-87AF-CBB13F2BEBA1}" name="Saldo Mês" dataDxfId="7" dataCellStyle="Moeda">
      <calculatedColumnFormula>SUM(C6:J6)</calculatedColumnFormula>
    </tableColumn>
    <tableColumn id="11" xr3:uid="{0B8152D6-ADCC-4875-AD11-583292D8F045}" name="Saldo Cumulativo" dataDxfId="6" dataCellStyle="Moeda">
      <calculatedColumnFormula>SUM(L5,K6)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962D-D6F3-45FA-9363-8934736B7B8A}">
  <dimension ref="B1:L20"/>
  <sheetViews>
    <sheetView workbookViewId="0">
      <selection activeCell="S19" sqref="S19"/>
    </sheetView>
  </sheetViews>
  <sheetFormatPr defaultRowHeight="15" x14ac:dyDescent="0.25"/>
  <cols>
    <col min="1" max="1" width="2" style="1" customWidth="1"/>
    <col min="2" max="2" width="9.140625" style="1"/>
    <col min="3" max="3" width="11.7109375" style="1" bestFit="1" customWidth="1"/>
    <col min="4" max="5" width="12.42578125" style="1" bestFit="1" customWidth="1"/>
    <col min="6" max="9" width="12.140625" style="1" bestFit="1" customWidth="1"/>
    <col min="10" max="10" width="17.28515625" style="1" customWidth="1"/>
    <col min="11" max="11" width="12.140625" style="1" bestFit="1" customWidth="1"/>
    <col min="12" max="12" width="18.5703125" style="1" customWidth="1"/>
    <col min="13" max="16384" width="9.140625" style="1"/>
  </cols>
  <sheetData>
    <row r="1" spans="2:12" ht="15.75" thickBot="1" x14ac:dyDescent="0.3"/>
    <row r="2" spans="2:12" x14ac:dyDescent="0.25">
      <c r="B2" s="35" t="s">
        <v>25</v>
      </c>
      <c r="C2" s="36"/>
      <c r="D2" s="36"/>
      <c r="E2" s="36"/>
      <c r="F2" s="36"/>
      <c r="G2" s="36"/>
      <c r="H2" s="36"/>
      <c r="I2" s="36"/>
      <c r="J2" s="36"/>
      <c r="K2" s="36"/>
      <c r="L2" s="37"/>
    </row>
    <row r="3" spans="2:12" x14ac:dyDescent="0.25">
      <c r="B3" s="3"/>
      <c r="C3" s="38" t="s">
        <v>23</v>
      </c>
      <c r="D3" s="38"/>
      <c r="E3" s="39" t="s">
        <v>24</v>
      </c>
      <c r="F3" s="39"/>
      <c r="G3" s="39"/>
      <c r="H3" s="39"/>
      <c r="I3" s="39"/>
      <c r="J3" s="39"/>
      <c r="K3" s="42"/>
      <c r="L3" s="43"/>
    </row>
    <row r="4" spans="2:12" x14ac:dyDescent="0.25">
      <c r="B4" s="26"/>
      <c r="C4" s="52" t="s">
        <v>27</v>
      </c>
      <c r="D4" s="53"/>
      <c r="E4" s="27" t="s">
        <v>28</v>
      </c>
      <c r="F4" s="27" t="s">
        <v>28</v>
      </c>
      <c r="G4" s="27" t="s">
        <v>28</v>
      </c>
      <c r="H4" s="27" t="s">
        <v>28</v>
      </c>
      <c r="I4" s="27" t="s">
        <v>28</v>
      </c>
      <c r="J4" s="27" t="s">
        <v>29</v>
      </c>
      <c r="K4" s="2"/>
      <c r="L4" s="25"/>
    </row>
    <row r="5" spans="2:12" x14ac:dyDescent="0.25">
      <c r="B5" s="13" t="s">
        <v>0</v>
      </c>
      <c r="C5" s="14" t="s">
        <v>1</v>
      </c>
      <c r="D5" s="14" t="s">
        <v>2</v>
      </c>
      <c r="E5" s="14" t="s">
        <v>26</v>
      </c>
      <c r="F5" s="14" t="s">
        <v>3</v>
      </c>
      <c r="G5" s="14" t="s">
        <v>4</v>
      </c>
      <c r="H5" s="14" t="s">
        <v>5</v>
      </c>
      <c r="I5" s="14" t="s">
        <v>21</v>
      </c>
      <c r="J5" s="14" t="s">
        <v>7</v>
      </c>
      <c r="K5" s="14" t="s">
        <v>6</v>
      </c>
      <c r="L5" s="15" t="s">
        <v>8</v>
      </c>
    </row>
    <row r="6" spans="2:12" x14ac:dyDescent="0.25">
      <c r="B6" s="16" t="s">
        <v>9</v>
      </c>
      <c r="C6" s="4">
        <v>831.48</v>
      </c>
      <c r="D6" s="5"/>
      <c r="E6" s="5">
        <v>0</v>
      </c>
      <c r="F6" s="5">
        <v>0</v>
      </c>
      <c r="G6" s="5"/>
      <c r="H6" s="5">
        <v>-25</v>
      </c>
      <c r="I6" s="5">
        <v>-100</v>
      </c>
      <c r="J6" s="5">
        <v>-150</v>
      </c>
      <c r="K6" s="7">
        <f>SUM(C6:J6)</f>
        <v>556.48</v>
      </c>
      <c r="L6" s="7">
        <f>SUM(L5,K6)</f>
        <v>556.48</v>
      </c>
    </row>
    <row r="7" spans="2:12" x14ac:dyDescent="0.25">
      <c r="B7" s="17" t="s">
        <v>10</v>
      </c>
      <c r="C7" s="4">
        <v>831.48</v>
      </c>
      <c r="D7" s="8"/>
      <c r="E7" s="5">
        <v>0</v>
      </c>
      <c r="F7" s="9">
        <v>0</v>
      </c>
      <c r="G7" s="9">
        <v>0</v>
      </c>
      <c r="H7" s="5">
        <v>-25</v>
      </c>
      <c r="I7" s="5">
        <v>-100</v>
      </c>
      <c r="J7" s="5">
        <v>-150</v>
      </c>
      <c r="K7" s="10">
        <f t="shared" ref="K7:K17" si="0">SUM(C7:J7)</f>
        <v>556.48</v>
      </c>
      <c r="L7" s="19">
        <f>SUM(L6,K7)</f>
        <v>1112.96</v>
      </c>
    </row>
    <row r="8" spans="2:12" x14ac:dyDescent="0.25">
      <c r="B8" s="16" t="s">
        <v>11</v>
      </c>
      <c r="C8" s="4">
        <v>831.48</v>
      </c>
      <c r="D8" s="6"/>
      <c r="E8" s="5">
        <v>0</v>
      </c>
      <c r="F8" s="5">
        <v>0</v>
      </c>
      <c r="G8" s="5">
        <v>0</v>
      </c>
      <c r="H8" s="5">
        <v>-25</v>
      </c>
      <c r="I8" s="5">
        <v>-100</v>
      </c>
      <c r="J8" s="5">
        <v>-150</v>
      </c>
      <c r="K8" s="7">
        <f t="shared" si="0"/>
        <v>556.48</v>
      </c>
      <c r="L8" s="18">
        <f t="shared" ref="L8:L17" si="1">SUM(L7,K8)</f>
        <v>1669.44</v>
      </c>
    </row>
    <row r="9" spans="2:12" x14ac:dyDescent="0.25">
      <c r="B9" s="17" t="s">
        <v>12</v>
      </c>
      <c r="C9" s="4">
        <v>831.48</v>
      </c>
      <c r="D9" s="8"/>
      <c r="E9" s="5">
        <v>0</v>
      </c>
      <c r="F9" s="5">
        <v>0</v>
      </c>
      <c r="G9" s="9">
        <v>0</v>
      </c>
      <c r="H9" s="5">
        <v>-25</v>
      </c>
      <c r="I9" s="5">
        <v>-100</v>
      </c>
      <c r="J9" s="5">
        <v>-150</v>
      </c>
      <c r="K9" s="10">
        <f t="shared" si="0"/>
        <v>556.48</v>
      </c>
      <c r="L9" s="19">
        <f t="shared" si="1"/>
        <v>2225.92</v>
      </c>
    </row>
    <row r="10" spans="2:12" x14ac:dyDescent="0.25">
      <c r="B10" s="16" t="s">
        <v>13</v>
      </c>
      <c r="C10" s="4">
        <v>831.48</v>
      </c>
      <c r="D10" s="6"/>
      <c r="E10" s="5">
        <v>0</v>
      </c>
      <c r="F10" s="5">
        <v>0</v>
      </c>
      <c r="G10" s="5">
        <v>0</v>
      </c>
      <c r="H10" s="5">
        <v>-25</v>
      </c>
      <c r="I10" s="5">
        <v>-100</v>
      </c>
      <c r="J10" s="5">
        <v>-150</v>
      </c>
      <c r="K10" s="7">
        <f t="shared" si="0"/>
        <v>556.48</v>
      </c>
      <c r="L10" s="18">
        <f t="shared" si="1"/>
        <v>2782.4</v>
      </c>
    </row>
    <row r="11" spans="2:12" x14ac:dyDescent="0.25">
      <c r="B11" s="17" t="s">
        <v>14</v>
      </c>
      <c r="C11" s="4">
        <v>831.48</v>
      </c>
      <c r="D11" s="8"/>
      <c r="E11" s="5">
        <v>0</v>
      </c>
      <c r="F11" s="5">
        <v>0</v>
      </c>
      <c r="G11" s="9">
        <v>0</v>
      </c>
      <c r="H11" s="5">
        <v>-25</v>
      </c>
      <c r="I11" s="5">
        <v>-100</v>
      </c>
      <c r="J11" s="5">
        <v>-150</v>
      </c>
      <c r="K11" s="10">
        <f t="shared" si="0"/>
        <v>556.48</v>
      </c>
      <c r="L11" s="19">
        <f t="shared" si="1"/>
        <v>3338.88</v>
      </c>
    </row>
    <row r="12" spans="2:12" x14ac:dyDescent="0.25">
      <c r="B12" s="16" t="s">
        <v>15</v>
      </c>
      <c r="C12" s="4">
        <v>831.48</v>
      </c>
      <c r="D12" s="6"/>
      <c r="E12" s="5">
        <v>0</v>
      </c>
      <c r="F12" s="5">
        <v>0</v>
      </c>
      <c r="G12" s="5">
        <v>0</v>
      </c>
      <c r="H12" s="5">
        <v>-25</v>
      </c>
      <c r="I12" s="5">
        <v>-100</v>
      </c>
      <c r="J12" s="5">
        <v>-150</v>
      </c>
      <c r="K12" s="7">
        <f t="shared" si="0"/>
        <v>556.48</v>
      </c>
      <c r="L12" s="18">
        <f t="shared" si="1"/>
        <v>3895.36</v>
      </c>
    </row>
    <row r="13" spans="2:12" x14ac:dyDescent="0.25">
      <c r="B13" s="17" t="s">
        <v>16</v>
      </c>
      <c r="C13" s="4">
        <v>831.48</v>
      </c>
      <c r="D13" s="8"/>
      <c r="E13" s="5">
        <v>0</v>
      </c>
      <c r="F13" s="5">
        <v>0</v>
      </c>
      <c r="G13" s="9">
        <v>0</v>
      </c>
      <c r="H13" s="5">
        <v>-25</v>
      </c>
      <c r="I13" s="5">
        <v>-100</v>
      </c>
      <c r="J13" s="5">
        <v>-150</v>
      </c>
      <c r="K13" s="10">
        <f t="shared" si="0"/>
        <v>556.48</v>
      </c>
      <c r="L13" s="19">
        <f t="shared" si="1"/>
        <v>4451.84</v>
      </c>
    </row>
    <row r="14" spans="2:12" x14ac:dyDescent="0.25">
      <c r="B14" s="16" t="s">
        <v>17</v>
      </c>
      <c r="C14" s="4">
        <v>831.48</v>
      </c>
      <c r="D14" s="6"/>
      <c r="E14" s="5">
        <v>0</v>
      </c>
      <c r="F14" s="5">
        <v>0</v>
      </c>
      <c r="G14" s="5">
        <v>0</v>
      </c>
      <c r="H14" s="5">
        <v>-25</v>
      </c>
      <c r="I14" s="5">
        <v>-100</v>
      </c>
      <c r="J14" s="5">
        <v>-150</v>
      </c>
      <c r="K14" s="7">
        <f t="shared" si="0"/>
        <v>556.48</v>
      </c>
      <c r="L14" s="18">
        <f t="shared" si="1"/>
        <v>5008.32</v>
      </c>
    </row>
    <row r="15" spans="2:12" x14ac:dyDescent="0.25">
      <c r="B15" s="17" t="s">
        <v>18</v>
      </c>
      <c r="C15" s="4">
        <v>831.48</v>
      </c>
      <c r="D15" s="8"/>
      <c r="E15" s="5">
        <v>0</v>
      </c>
      <c r="F15" s="5">
        <v>0</v>
      </c>
      <c r="G15" s="9">
        <v>0</v>
      </c>
      <c r="H15" s="5">
        <v>-25</v>
      </c>
      <c r="I15" s="5">
        <v>-100</v>
      </c>
      <c r="J15" s="5">
        <v>-150</v>
      </c>
      <c r="K15" s="10">
        <f t="shared" si="0"/>
        <v>556.48</v>
      </c>
      <c r="L15" s="19">
        <f t="shared" si="1"/>
        <v>5564.7999999999993</v>
      </c>
    </row>
    <row r="16" spans="2:12" x14ac:dyDescent="0.25">
      <c r="B16" s="16" t="s">
        <v>19</v>
      </c>
      <c r="C16" s="4">
        <v>831.48</v>
      </c>
      <c r="D16" s="6"/>
      <c r="E16" s="5">
        <v>0</v>
      </c>
      <c r="F16" s="5">
        <v>0</v>
      </c>
      <c r="G16" s="5">
        <v>0</v>
      </c>
      <c r="H16" s="5">
        <v>-25</v>
      </c>
      <c r="I16" s="5">
        <v>-100</v>
      </c>
      <c r="J16" s="5">
        <v>-150</v>
      </c>
      <c r="K16" s="7">
        <f t="shared" si="0"/>
        <v>556.48</v>
      </c>
      <c r="L16" s="18">
        <f t="shared" si="1"/>
        <v>6121.2799999999988</v>
      </c>
    </row>
    <row r="17" spans="2:12" x14ac:dyDescent="0.25">
      <c r="B17" s="20" t="s">
        <v>20</v>
      </c>
      <c r="C17" s="4">
        <v>831.48</v>
      </c>
      <c r="D17" s="21"/>
      <c r="E17" s="5">
        <v>0</v>
      </c>
      <c r="F17" s="5">
        <v>0</v>
      </c>
      <c r="G17" s="22">
        <v>0</v>
      </c>
      <c r="H17" s="5">
        <v>-25</v>
      </c>
      <c r="I17" s="5">
        <v>-100</v>
      </c>
      <c r="J17" s="5">
        <v>-150</v>
      </c>
      <c r="K17" s="23">
        <f t="shared" si="0"/>
        <v>556.48</v>
      </c>
      <c r="L17" s="24">
        <f t="shared" si="1"/>
        <v>6677.7599999999984</v>
      </c>
    </row>
    <row r="18" spans="2:12" x14ac:dyDescent="0.25">
      <c r="B18" s="40" t="s">
        <v>22</v>
      </c>
      <c r="C18" s="11">
        <f t="shared" ref="C18:I18" si="2">SUM(C6:C17)</f>
        <v>9977.7599999999966</v>
      </c>
      <c r="D18" s="11">
        <f t="shared" si="2"/>
        <v>0</v>
      </c>
      <c r="E18" s="12">
        <f t="shared" si="2"/>
        <v>0</v>
      </c>
      <c r="F18" s="12">
        <f t="shared" si="2"/>
        <v>0</v>
      </c>
      <c r="G18" s="12">
        <f t="shared" si="2"/>
        <v>0</v>
      </c>
      <c r="H18" s="12">
        <f t="shared" si="2"/>
        <v>-300</v>
      </c>
      <c r="I18" s="12">
        <f t="shared" si="2"/>
        <v>-1200</v>
      </c>
      <c r="J18" s="11">
        <f>SUM(J6:J17)</f>
        <v>-1800</v>
      </c>
      <c r="K18" s="44"/>
      <c r="L18" s="45"/>
    </row>
    <row r="19" spans="2:12" x14ac:dyDescent="0.25">
      <c r="B19" s="40"/>
      <c r="C19" s="41">
        <f>SUM(C18:D18)</f>
        <v>9977.7599999999966</v>
      </c>
      <c r="D19" s="41"/>
      <c r="E19" s="41">
        <f>SUM(E18:J18)</f>
        <v>-3300</v>
      </c>
      <c r="F19" s="41"/>
      <c r="G19" s="41"/>
      <c r="H19" s="41"/>
      <c r="I19" s="41"/>
      <c r="J19" s="41"/>
      <c r="K19" s="46"/>
      <c r="L19" s="47"/>
    </row>
    <row r="20" spans="2:12" ht="15.75" thickBot="1" x14ac:dyDescent="0.3">
      <c r="B20" s="50"/>
      <c r="C20" s="51"/>
      <c r="D20" s="51"/>
      <c r="E20" s="51"/>
      <c r="F20" s="51"/>
      <c r="G20" s="51"/>
      <c r="H20" s="51"/>
      <c r="I20" s="51"/>
      <c r="J20" s="51"/>
      <c r="K20" s="48"/>
      <c r="L20" s="49"/>
    </row>
  </sheetData>
  <mergeCells count="10">
    <mergeCell ref="B2:L2"/>
    <mergeCell ref="C3:D3"/>
    <mergeCell ref="E3:J3"/>
    <mergeCell ref="B18:B19"/>
    <mergeCell ref="C19:D19"/>
    <mergeCell ref="E19:J19"/>
    <mergeCell ref="K3:L3"/>
    <mergeCell ref="K18:L20"/>
    <mergeCell ref="B20:J20"/>
    <mergeCell ref="C4:D4"/>
  </mergeCells>
  <phoneticPr fontId="5" type="noConversion"/>
  <conditionalFormatting sqref="C18:J19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C6:L1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K6:L6">
    <cfRule type="cellIs" dxfId="1" priority="5" operator="greaterThan">
      <formula>0</formula>
    </cfRule>
    <cfRule type="cellIs" dxfId="0" priority="6" operator="lessThan">
      <formula>0</formula>
    </cfRule>
  </conditionalFormatting>
  <dataValidations count="1">
    <dataValidation type="list" allowBlank="1" showInputMessage="1" showErrorMessage="1" sqref="E4:J4" xr:uid="{40B53643-DB47-47A5-8BF6-C5467BFFA58C}">
      <formula1>"FIXA, VARIÁVEL"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08D3-A7F1-4B52-9F3A-0D487B05A19C}">
  <sheetPr codeName="Planilha1"/>
  <dimension ref="B2:I10"/>
  <sheetViews>
    <sheetView tabSelected="1" workbookViewId="0">
      <selection activeCell="H7" sqref="H7:I10"/>
    </sheetView>
  </sheetViews>
  <sheetFormatPr defaultRowHeight="15" x14ac:dyDescent="0.25"/>
  <cols>
    <col min="1" max="1" width="2.7109375" customWidth="1"/>
    <col min="2" max="2" width="25" bestFit="1" customWidth="1"/>
    <col min="3" max="3" width="12" bestFit="1" customWidth="1"/>
    <col min="4" max="4" width="12" customWidth="1"/>
    <col min="5" max="5" width="23" customWidth="1"/>
    <col min="6" max="6" width="10.140625" customWidth="1"/>
    <col min="8" max="8" width="41.140625" bestFit="1" customWidth="1"/>
  </cols>
  <sheetData>
    <row r="2" spans="2:9" ht="47.25" customHeight="1" x14ac:dyDescent="0.25">
      <c r="B2" s="54" t="s">
        <v>30</v>
      </c>
      <c r="C2" s="55"/>
      <c r="D2" s="72"/>
      <c r="E2" s="56" t="s">
        <v>36</v>
      </c>
      <c r="F2" s="57"/>
      <c r="G2" s="72"/>
      <c r="H2" s="58" t="s">
        <v>41</v>
      </c>
      <c r="I2" s="59"/>
    </row>
    <row r="3" spans="2:9" x14ac:dyDescent="0.25">
      <c r="B3" s="28" t="s">
        <v>31</v>
      </c>
      <c r="C3" s="28">
        <v>3</v>
      </c>
      <c r="D3" s="73"/>
      <c r="E3" s="31" t="s">
        <v>37</v>
      </c>
      <c r="F3" s="28">
        <v>3</v>
      </c>
      <c r="G3" s="73"/>
      <c r="H3" s="28" t="s">
        <v>37</v>
      </c>
      <c r="I3" s="28">
        <v>3</v>
      </c>
    </row>
    <row r="4" spans="2:9" ht="30.75" customHeight="1" x14ac:dyDescent="0.25">
      <c r="B4" s="28" t="s">
        <v>32</v>
      </c>
      <c r="C4" s="29">
        <v>1.2E-2</v>
      </c>
      <c r="D4" s="73"/>
      <c r="E4" s="32" t="s">
        <v>38</v>
      </c>
      <c r="F4" s="33">
        <v>1.2E-2</v>
      </c>
      <c r="G4" s="73"/>
      <c r="H4" s="28" t="s">
        <v>38</v>
      </c>
      <c r="I4" s="29">
        <v>1.2E-2</v>
      </c>
    </row>
    <row r="5" spans="2:9" ht="60" x14ac:dyDescent="0.25">
      <c r="B5" s="30" t="s">
        <v>33</v>
      </c>
      <c r="C5" s="28">
        <v>500</v>
      </c>
      <c r="D5" s="73"/>
      <c r="E5" s="30" t="s">
        <v>39</v>
      </c>
      <c r="F5" s="28">
        <v>500</v>
      </c>
      <c r="G5" s="73"/>
      <c r="H5" s="28" t="s">
        <v>42</v>
      </c>
      <c r="I5" s="28">
        <v>300</v>
      </c>
    </row>
    <row r="6" spans="2:9" x14ac:dyDescent="0.25">
      <c r="B6" s="31" t="s">
        <v>34</v>
      </c>
      <c r="C6" s="28">
        <f>ROUND((1+C4)^C3*C5, 2)</f>
        <v>518.22</v>
      </c>
      <c r="D6" s="73"/>
      <c r="E6" s="28" t="s">
        <v>34</v>
      </c>
      <c r="F6" s="34">
        <f>ROUND((1+F4)*(((1+F4)^F3-1)/F4)*F5, 2)</f>
        <v>1536.29</v>
      </c>
      <c r="G6" s="73"/>
      <c r="H6" s="31" t="s">
        <v>43</v>
      </c>
      <c r="I6" s="28">
        <f>ROUND((((1-(1+I4)^-I3))/I4)*I5, 2)</f>
        <v>878.82</v>
      </c>
    </row>
    <row r="7" spans="2:9" x14ac:dyDescent="0.25">
      <c r="B7" s="60" t="s">
        <v>35</v>
      </c>
      <c r="C7" s="61"/>
      <c r="D7" s="73"/>
      <c r="E7" s="66" t="s">
        <v>40</v>
      </c>
      <c r="F7" s="67"/>
      <c r="G7" s="73"/>
      <c r="H7" s="60" t="s">
        <v>44</v>
      </c>
      <c r="I7" s="61"/>
    </row>
    <row r="8" spans="2:9" x14ac:dyDescent="0.25">
      <c r="B8" s="62"/>
      <c r="C8" s="63"/>
      <c r="D8" s="73"/>
      <c r="E8" s="68"/>
      <c r="F8" s="69"/>
      <c r="G8" s="73"/>
      <c r="H8" s="62"/>
      <c r="I8" s="63"/>
    </row>
    <row r="9" spans="2:9" ht="16.5" customHeight="1" x14ac:dyDescent="0.25">
      <c r="B9" s="62"/>
      <c r="C9" s="63"/>
      <c r="D9" s="73"/>
      <c r="E9" s="68"/>
      <c r="F9" s="69"/>
      <c r="G9" s="73"/>
      <c r="H9" s="62"/>
      <c r="I9" s="63"/>
    </row>
    <row r="10" spans="2:9" x14ac:dyDescent="0.25">
      <c r="B10" s="64"/>
      <c r="C10" s="65"/>
      <c r="D10" s="74"/>
      <c r="E10" s="70"/>
      <c r="F10" s="71"/>
      <c r="G10" s="74"/>
      <c r="H10" s="64"/>
      <c r="I10" s="65"/>
    </row>
  </sheetData>
  <mergeCells count="8">
    <mergeCell ref="B2:C2"/>
    <mergeCell ref="E2:F2"/>
    <mergeCell ref="H2:I2"/>
    <mergeCell ref="B7:C10"/>
    <mergeCell ref="E7:F10"/>
    <mergeCell ref="H7:I10"/>
    <mergeCell ref="D2:D10"/>
    <mergeCell ref="G2:G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SOUZA MELZI</dc:creator>
  <cp:lastModifiedBy>VINICIUS DE SOUZA MELZI</cp:lastModifiedBy>
  <dcterms:created xsi:type="dcterms:W3CDTF">2025-10-17T17:07:12Z</dcterms:created>
  <dcterms:modified xsi:type="dcterms:W3CDTF">2025-10-31T19:25:42Z</dcterms:modified>
</cp:coreProperties>
</file>